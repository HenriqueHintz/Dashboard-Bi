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rçamento Men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07C41"/>
      <sz val="14"/>
    </font>
    <font>
      <name val="Calibri"/>
      <b val="1"/>
      <color rgb="00000000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2" applyAlignment="1" pivotButton="0" quotePrefix="0" xfId="0">
      <alignment horizontal="center"/>
    </xf>
    <xf numFmtId="0" fontId="2" fillId="3" borderId="2" pivotButton="0" quotePrefix="0" xfId="0"/>
    <xf numFmtId="164" fontId="2" fillId="3" borderId="2" pivotButton="0" quotePrefix="0" xfId="0"/>
    <xf numFmtId="165" fontId="2" fillId="3" borderId="2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60" customWidth="1" min="2" max="2"/>
    <col width="15" customWidth="1" min="3" max="3"/>
    <col width="39" customWidth="1" min="4" max="4"/>
    <col width="41" customWidth="1" min="5" max="5"/>
    <col width="17" customWidth="1" min="6" max="6"/>
    <col width="17" customWidth="1" min="7" max="7"/>
    <col width="12" customWidth="1" min="8" max="8"/>
  </cols>
  <sheetData>
    <row r="1"/>
    <row r="2">
      <c r="B2" s="1" t="inlineStr">
        <is>
          <t>FINQUEST — PLANILHA DE GESTÃO FINANCEIRA (REGRA 50/30/20)</t>
        </is>
      </c>
    </row>
    <row r="3"/>
    <row r="4">
      <c r="B4" s="2" t="inlineStr">
        <is>
          <t>Renda Líquida Mensal:</t>
        </is>
      </c>
      <c r="C4" s="3" t="n">
        <v>5500</v>
      </c>
    </row>
    <row r="5"/>
    <row r="6">
      <c r="B6" s="4" t="inlineStr">
        <is>
          <t>#</t>
        </is>
      </c>
      <c r="C6" s="4" t="inlineStr">
        <is>
          <t>Categoria</t>
        </is>
      </c>
      <c r="D6" s="5" t="inlineStr">
        <is>
          <t>Descrição / Item</t>
        </is>
      </c>
      <c r="E6" s="5" t="inlineStr">
        <is>
          <t>Previsto (R$)</t>
        </is>
      </c>
      <c r="F6" s="5" t="inlineStr">
        <is>
          <t>Realizado (R$)</t>
        </is>
      </c>
      <c r="G6" s="5" t="inlineStr">
        <is>
          <t>Diferença (R$)</t>
        </is>
      </c>
      <c r="H6" s="5" t="inlineStr">
        <is>
          <t>% Renda</t>
        </is>
      </c>
    </row>
    <row r="7">
      <c r="B7" s="6" t="n">
        <v>1</v>
      </c>
      <c r="C7" s="7" t="inlineStr">
        <is>
          <t>NECESSIDADE</t>
        </is>
      </c>
      <c r="D7" s="7" t="inlineStr">
        <is>
          <t>Aluguel / Condomínio</t>
        </is>
      </c>
      <c r="E7" s="8" t="n">
        <v>1400</v>
      </c>
      <c r="F7" s="8" t="n">
        <v>1400</v>
      </c>
      <c r="G7" s="8">
        <f>E7-F7</f>
        <v/>
      </c>
      <c r="H7" s="9">
        <f>F7/$C$4</f>
        <v/>
      </c>
    </row>
    <row r="8">
      <c r="B8" s="6" t="n">
        <v>2</v>
      </c>
      <c r="C8" s="7" t="inlineStr">
        <is>
          <t>NECESSIDADE</t>
        </is>
      </c>
      <c r="D8" s="7" t="inlineStr">
        <is>
          <t>Supermercado &amp; Alimentação</t>
        </is>
      </c>
      <c r="E8" s="8" t="n">
        <v>800</v>
      </c>
      <c r="F8" s="8" t="n">
        <v>780</v>
      </c>
      <c r="G8" s="8">
        <f>E8-F8</f>
        <v/>
      </c>
      <c r="H8" s="9">
        <f>F8/$C$4</f>
        <v/>
      </c>
    </row>
    <row r="9">
      <c r="B9" s="6" t="n">
        <v>3</v>
      </c>
      <c r="C9" s="7" t="inlineStr">
        <is>
          <t>NECESSIDADE</t>
        </is>
      </c>
      <c r="D9" s="7" t="inlineStr">
        <is>
          <t>Energia Elétrica &amp; Água</t>
        </is>
      </c>
      <c r="E9" s="8" t="n">
        <v>220</v>
      </c>
      <c r="F9" s="8" t="n">
        <v>245</v>
      </c>
      <c r="G9" s="8">
        <f>E9-F9</f>
        <v/>
      </c>
      <c r="H9" s="9">
        <f>F9/$C$4</f>
        <v/>
      </c>
    </row>
    <row r="10">
      <c r="B10" s="6" t="n">
        <v>4</v>
      </c>
      <c r="C10" s="7" t="inlineStr">
        <is>
          <t>NECESSIDADE</t>
        </is>
      </c>
      <c r="D10" s="7" t="inlineStr">
        <is>
          <t>Internet Fibra</t>
        </is>
      </c>
      <c r="E10" s="8" t="n">
        <v>120</v>
      </c>
      <c r="F10" s="8" t="n">
        <v>120</v>
      </c>
      <c r="G10" s="8">
        <f>E10-F10</f>
        <v/>
      </c>
      <c r="H10" s="9">
        <f>F10/$C$4</f>
        <v/>
      </c>
    </row>
    <row r="11">
      <c r="B11" s="6" t="n">
        <v>5</v>
      </c>
      <c r="C11" s="7" t="inlineStr">
        <is>
          <t>NECESSIDADE</t>
        </is>
      </c>
      <c r="D11" s="7" t="inlineStr">
        <is>
          <t>Transporte / Combustível</t>
        </is>
      </c>
      <c r="E11" s="8" t="n">
        <v>200</v>
      </c>
      <c r="F11" s="8" t="n">
        <v>190</v>
      </c>
      <c r="G11" s="8">
        <f>E11-F11</f>
        <v/>
      </c>
      <c r="H11" s="9">
        <f>F11/$C$4</f>
        <v/>
      </c>
    </row>
    <row r="12">
      <c r="B12" s="6" t="n">
        <v>6</v>
      </c>
      <c r="C12" s="7" t="inlineStr">
        <is>
          <t>DESEJO</t>
        </is>
      </c>
      <c r="D12" s="7" t="inlineStr">
        <is>
          <t>Lazer &amp; Restaurantes</t>
        </is>
      </c>
      <c r="E12" s="8" t="n">
        <v>550</v>
      </c>
      <c r="F12" s="8" t="n">
        <v>610</v>
      </c>
      <c r="G12" s="8">
        <f>E12-F12</f>
        <v/>
      </c>
      <c r="H12" s="9">
        <f>F12/$C$4</f>
        <v/>
      </c>
    </row>
    <row r="13">
      <c r="B13" s="6" t="n">
        <v>7</v>
      </c>
      <c r="C13" s="7" t="inlineStr">
        <is>
          <t>DESEJO</t>
        </is>
      </c>
      <c r="D13" s="7" t="inlineStr">
        <is>
          <t>Streaming &amp; Assinaturas</t>
        </is>
      </c>
      <c r="E13" s="8" t="n">
        <v>95</v>
      </c>
      <c r="F13" s="8" t="n">
        <v>95</v>
      </c>
      <c r="G13" s="8">
        <f>E13-F13</f>
        <v/>
      </c>
      <c r="H13" s="9">
        <f>F13/$C$4</f>
        <v/>
      </c>
    </row>
    <row r="14">
      <c r="B14" s="6" t="n">
        <v>8</v>
      </c>
      <c r="C14" s="7" t="inlineStr">
        <is>
          <t>DESEJO</t>
        </is>
      </c>
      <c r="D14" s="7" t="inlineStr">
        <is>
          <t>Academia &amp; Cuidados</t>
        </is>
      </c>
      <c r="E14" s="8" t="n">
        <v>150</v>
      </c>
      <c r="F14" s="8" t="n">
        <v>150</v>
      </c>
      <c r="G14" s="8">
        <f>E14-F14</f>
        <v/>
      </c>
      <c r="H14" s="9">
        <f>F14/$C$4</f>
        <v/>
      </c>
    </row>
    <row r="15">
      <c r="B15" s="6" t="n">
        <v>9</v>
      </c>
      <c r="C15" s="7" t="inlineStr">
        <is>
          <t>DESEJO</t>
        </is>
      </c>
      <c r="D15" s="7" t="inlineStr">
        <is>
          <t>Compras Pessoais &amp; Roupas</t>
        </is>
      </c>
      <c r="E15" s="8" t="n">
        <v>300</v>
      </c>
      <c r="F15" s="8" t="n">
        <v>250</v>
      </c>
      <c r="G15" s="8">
        <f>E15-F15</f>
        <v/>
      </c>
      <c r="H15" s="9">
        <f>F15/$C$4</f>
        <v/>
      </c>
    </row>
    <row r="16">
      <c r="B16" s="6" t="n">
        <v>10</v>
      </c>
      <c r="C16" s="7" t="inlineStr">
        <is>
          <t>DESEJO</t>
        </is>
      </c>
      <c r="D16" s="7" t="inlineStr">
        <is>
          <t>iFood / Delivery</t>
        </is>
      </c>
      <c r="E16" s="8" t="n">
        <v>250</v>
      </c>
      <c r="F16" s="8" t="n">
        <v>280</v>
      </c>
      <c r="G16" s="8">
        <f>E16-F16</f>
        <v/>
      </c>
      <c r="H16" s="9">
        <f>F16/$C$4</f>
        <v/>
      </c>
    </row>
    <row r="17">
      <c r="B17" s="6" t="n">
        <v>11</v>
      </c>
      <c r="C17" s="7" t="inlineStr">
        <is>
          <t>INVESTIMENTO</t>
        </is>
      </c>
      <c r="D17" s="7" t="inlineStr">
        <is>
          <t>Reserva de Emergência (CDB 100% CDI)</t>
        </is>
      </c>
      <c r="E17" s="8" t="n">
        <v>600</v>
      </c>
      <c r="F17" s="8" t="n">
        <v>600</v>
      </c>
      <c r="G17" s="8">
        <f>E17-F17</f>
        <v/>
      </c>
      <c r="H17" s="9">
        <f>F17/$C$4</f>
        <v/>
      </c>
    </row>
    <row r="18">
      <c r="B18" s="6" t="n">
        <v>12</v>
      </c>
      <c r="C18" s="7" t="inlineStr">
        <is>
          <t>INVESTIMENTO</t>
        </is>
      </c>
      <c r="D18" s="7" t="inlineStr">
        <is>
          <t>Tesouro Direto IPCA+ (Longo Prazo)</t>
        </is>
      </c>
      <c r="E18" s="8" t="n">
        <v>350</v>
      </c>
      <c r="F18" s="8" t="n">
        <v>350</v>
      </c>
      <c r="G18" s="8">
        <f>E18-F18</f>
        <v/>
      </c>
      <c r="H18" s="9">
        <f>F18/$C$4</f>
        <v/>
      </c>
    </row>
    <row r="19">
      <c r="B19" s="6" t="n">
        <v>13</v>
      </c>
      <c r="C19" s="7" t="inlineStr">
        <is>
          <t>INVESTIMENTO</t>
        </is>
      </c>
      <c r="D19" s="7" t="inlineStr">
        <is>
          <t>Ações / FIIs (Dividendos)</t>
        </is>
      </c>
      <c r="E19" s="8" t="n">
        <v>200</v>
      </c>
      <c r="F19" s="8" t="n">
        <v>200</v>
      </c>
      <c r="G19" s="8">
        <f>E19-F19</f>
        <v/>
      </c>
      <c r="H19" s="9">
        <f>F19/$C$4</f>
        <v/>
      </c>
    </row>
    <row r="20">
      <c r="B20" s="10" t="inlineStr">
        <is>
          <t>Σ</t>
        </is>
      </c>
      <c r="C20" s="11" t="inlineStr">
        <is>
          <t>TOTAIS</t>
        </is>
      </c>
      <c r="D20" s="11" t="inlineStr">
        <is>
          <t>TOTAL GERAL DE DESPESAS</t>
        </is>
      </c>
      <c r="E20" s="12">
        <f>SUM(E7:E19)</f>
        <v/>
      </c>
      <c r="F20" s="12">
        <f>SUM(F7:F19)</f>
        <v/>
      </c>
      <c r="G20" s="12">
        <f>E20-F20</f>
        <v/>
      </c>
      <c r="H20" s="13">
        <f>F20/$C$4</f>
        <v/>
      </c>
    </row>
    <row r="21"/>
    <row r="22"/>
    <row r="23">
      <c r="B23" s="2" t="inlineStr">
        <is>
          <t>ANÁLISE DA REGRA 50/30/20</t>
        </is>
      </c>
    </row>
    <row r="24">
      <c r="B24" t="inlineStr">
        <is>
          <t>1. Necessidades (Meta: ≤50%)</t>
        </is>
      </c>
      <c r="E24" s="14">
        <f>SUMIF(C7:C19, "NECESSIDADE", F7:F19)</f>
        <v/>
      </c>
      <c r="F24" s="15">
        <f>E24/$C$4</f>
        <v/>
      </c>
    </row>
    <row r="25">
      <c r="B25" t="inlineStr">
        <is>
          <t>2. Desejos Pessoais (Meta: ≤30%)</t>
        </is>
      </c>
      <c r="E25" s="14">
        <f>SUMIF(C7:C19, "DESEJO", F7:F19)</f>
        <v/>
      </c>
      <c r="F25" s="15">
        <f>E25/$C$4</f>
        <v/>
      </c>
    </row>
    <row r="26">
      <c r="B26" t="inlineStr">
        <is>
          <t>3. Investimentos (Meta: ≥20%)</t>
        </is>
      </c>
      <c r="E26" s="14">
        <f>SUMIF(C7:C19, "INVESTIMENTO", F7:F19)</f>
        <v/>
      </c>
      <c r="F26" s="15">
        <f>E26/$C$4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2026-10-06T20:09:42Z</dcterms:created>
  <dcterms:modified xmlns:dcterms="http://purl.org/dc/terms/" xmlns:xsi="http://www.w3.org/2001/XMLSchema-instance" xsi:type="dcterms:W3CDTF">2026-10-06T20:09:42Z</dcterms:modified>
</cp:coreProperties>
</file>